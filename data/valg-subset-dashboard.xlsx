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haogengkun/Desktop/康奈尔Semester3/CS6158/Final Project/"/>
    </mc:Choice>
  </mc:AlternateContent>
  <xr:revisionPtr revIDLastSave="0" documentId="8_{4F3B2E34-B3B8-CD49-BF8A-53BAC45EF9C3}" xr6:coauthVersionLast="47" xr6:coauthVersionMax="47" xr10:uidLastSave="{00000000-0000-0000-0000-000000000000}"/>
  <bookViews>
    <workbookView xWindow="0" yWindow="600" windowWidth="33600" windowHeight="19360" xr2:uid="{00000000-000D-0000-FFFF-FFFF00000000}"/>
  </bookViews>
  <sheets>
    <sheet name="Dashboard" sheetId="1" r:id="rId1"/>
    <sheet name="Trace Analysis" sheetId="2" r:id="rId2"/>
    <sheet name="Analysis" sheetId="3" r:id="rId3"/>
    <sheet name="Run 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3" l="1"/>
  <c r="P5" i="3"/>
  <c r="L5" i="3"/>
  <c r="M5" i="3" s="1"/>
  <c r="I5" i="3"/>
  <c r="E5" i="3"/>
  <c r="F5" i="3" s="1"/>
  <c r="S4" i="3"/>
  <c r="P4" i="3"/>
  <c r="M4" i="3"/>
  <c r="L4" i="3"/>
  <c r="I4" i="3"/>
  <c r="F4" i="3"/>
  <c r="E4" i="3"/>
  <c r="S3" i="3"/>
  <c r="P3" i="3"/>
  <c r="G9" i="2" s="1"/>
  <c r="L3" i="3"/>
  <c r="M3" i="3" s="1"/>
  <c r="I3" i="3"/>
  <c r="D7" i="1" s="1"/>
  <c r="F3" i="3"/>
  <c r="E3" i="3"/>
  <c r="S2" i="3"/>
  <c r="P2" i="3"/>
  <c r="G8" i="2" s="1"/>
  <c r="L2" i="3"/>
  <c r="J41" i="2" s="1"/>
  <c r="I2" i="3"/>
  <c r="G11" i="1" s="1"/>
  <c r="F2" i="3"/>
  <c r="F11" i="1" s="1"/>
  <c r="E2" i="3"/>
  <c r="B19" i="1" s="1"/>
  <c r="J40" i="2"/>
  <c r="J39" i="2"/>
  <c r="K15" i="2"/>
  <c r="J15" i="2"/>
  <c r="I15" i="2"/>
  <c r="G15" i="2"/>
  <c r="F15" i="2"/>
  <c r="E15" i="2"/>
  <c r="C15" i="2"/>
  <c r="B15" i="2"/>
  <c r="A15" i="2"/>
  <c r="J9" i="2"/>
  <c r="I9" i="2"/>
  <c r="H9" i="2"/>
  <c r="F9" i="2"/>
  <c r="E9" i="2"/>
  <c r="C9" i="2"/>
  <c r="B9" i="2"/>
  <c r="A9" i="2"/>
  <c r="J8" i="2"/>
  <c r="I8" i="2"/>
  <c r="H8" i="2"/>
  <c r="F8" i="2"/>
  <c r="E8" i="2"/>
  <c r="C8" i="2"/>
  <c r="B8" i="2"/>
  <c r="A8" i="2"/>
  <c r="C22" i="1"/>
  <c r="B22" i="1"/>
  <c r="A22" i="1"/>
  <c r="C21" i="1"/>
  <c r="B21" i="1"/>
  <c r="A21" i="1"/>
  <c r="C20" i="1"/>
  <c r="B20" i="1"/>
  <c r="A20" i="1"/>
  <c r="C19" i="1"/>
  <c r="A19" i="1"/>
  <c r="G14" i="1"/>
  <c r="E14" i="1"/>
  <c r="D14" i="1"/>
  <c r="C14" i="1"/>
  <c r="B14" i="1"/>
  <c r="A14" i="1"/>
  <c r="G13" i="1"/>
  <c r="F13" i="1"/>
  <c r="E13" i="1"/>
  <c r="D13" i="1"/>
  <c r="C13" i="1"/>
  <c r="B13" i="1"/>
  <c r="A13" i="1"/>
  <c r="F12" i="1"/>
  <c r="E12" i="1"/>
  <c r="D12" i="1"/>
  <c r="C12" i="1"/>
  <c r="B12" i="1"/>
  <c r="A12" i="1"/>
  <c r="E11" i="1"/>
  <c r="D11" i="1"/>
  <c r="C11" i="1"/>
  <c r="B11" i="1"/>
  <c r="A11" i="1"/>
  <c r="G7" i="1"/>
  <c r="F7" i="1"/>
  <c r="H7" i="1" s="1"/>
  <c r="A7" i="1"/>
  <c r="J38" i="2" l="1"/>
  <c r="D9" i="2"/>
  <c r="B7" i="1"/>
  <c r="F14" i="1"/>
  <c r="C7" i="1"/>
  <c r="G12" i="1"/>
  <c r="M2" i="3"/>
  <c r="D8" i="2" s="1"/>
  <c r="E7" i="1"/>
</calcChain>
</file>

<file path=xl/sharedStrings.xml><?xml version="1.0" encoding="utf-8"?>
<sst xmlns="http://schemas.openxmlformats.org/spreadsheetml/2006/main" count="247" uniqueCount="115">
  <si>
    <t>Valg Artifact: Small-Scale Reproduction Dashboard</t>
  </si>
  <si>
    <t>Scope: four locally executed projects; end-to-end wall-clock times from the selected, most complete run of each project.</t>
  </si>
  <si>
    <t>Projects</t>
  </si>
  <si>
    <t>ValgJ faster</t>
  </si>
  <si>
    <t>Median J reduction</t>
  </si>
  <si>
    <t>Violation signatures kept</t>
  </si>
  <si>
    <t>Complete T pairs</t>
  </si>
  <si>
    <t>Successful modes</t>
  </si>
  <si>
    <t>Total modes</t>
  </si>
  <si>
    <t>Data status</t>
  </si>
  <si>
    <t>Project</t>
  </si>
  <si>
    <t>no-RV (s)</t>
  </si>
  <si>
    <t>ValgJ (s)</t>
  </si>
  <si>
    <t>JavaMOP (s)</t>
  </si>
  <si>
    <t>ValgJ / JavaMOP</t>
  </si>
  <si>
    <t>Time reduction</t>
  </si>
  <si>
    <t>Unique violations kept</t>
  </si>
  <si>
    <t>ValgJ</t>
  </si>
  <si>
    <t>JavaMOP baseline</t>
  </si>
  <si>
    <t>Interpretation</t>
  </si>
  <si>
    <t>Result</t>
  </si>
  <si>
    <t>Definition</t>
  </si>
  <si>
    <t>Caveat</t>
  </si>
  <si>
    <t>Java-path timing</t>
  </si>
  <si>
    <t>ValgJ is faster on 3 of 4 projects.</t>
  </si>
  <si>
    <t>1 − ValgJ / JavaMOP</t>
  </si>
  <si>
    <t>javadbf is slower under ValgJ in this run.</t>
  </si>
  <si>
    <t>Violation signatures</t>
  </si>
  <si>
    <t>All unique violation rows are preserved.</t>
  </si>
  <si>
    <t>ValgJ unique rows / JavaMOP unique rows</t>
  </si>
  <si>
    <t>Occurrence counts are reduced by selective monitoring.</t>
  </si>
  <si>
    <t>Trace-path timing</t>
  </si>
  <si>
    <t>One complete ValgT–TraceMOP pair is available.</t>
  </si>
  <si>
    <t>1 − ValgT / TraceMOP</t>
  </si>
  <si>
    <t>The remaining trace-mode runs are partial or failed.</t>
  </si>
  <si>
    <t>Paper comparison</t>
  </si>
  <si>
    <t>These are local subset results, not the paper's 64-project aggregate.</t>
  </si>
  <si>
    <t>End-to-end wall-clock time</t>
  </si>
  <si>
    <t>Monitoring-only time is not available in these summary files.</t>
  </si>
  <si>
    <t>Reproducibility notes</t>
  </si>
  <si>
    <t>Selection rule</t>
  </si>
  <si>
    <t>Most successful modes; latest run breaks ties.</t>
  </si>
  <si>
    <t>Timing unit</t>
  </si>
  <si>
    <t>Seconds, converted from duration_ms.</t>
  </si>
  <si>
    <t>Failed modes</t>
  </si>
  <si>
    <t>Shown as missing, never converted to zero.</t>
  </si>
  <si>
    <t>Source</t>
  </si>
  <si>
    <t>valg-reproduction/subset-results/*/summary.csv</t>
  </si>
  <si>
    <t>Trace-oriented comparison (ValgT vs. TraceMOP)</t>
  </si>
  <si>
    <t>Duplicate trace instances are derived as trace_frequency_sum − unique_traces. Missing values indicate a failed or unavailable mode, not zero.</t>
  </si>
  <si>
    <t>ValgT (s)</t>
  </si>
  <si>
    <t>TraceMOP (s)</t>
  </si>
  <si>
    <t>ValgT unique</t>
  </si>
  <si>
    <t>TraceMOP unique</t>
  </si>
  <si>
    <t>Retention</t>
  </si>
  <si>
    <t>ValgT duplicates</t>
  </si>
  <si>
    <t>TraceMOP duplicates</t>
  </si>
  <si>
    <t>Duplicate reduction</t>
  </si>
  <si>
    <t>ValgT</t>
  </si>
  <si>
    <t>TraceMOP</t>
  </si>
  <si>
    <t>Result summary</t>
  </si>
  <si>
    <t>Metric</t>
  </si>
  <si>
    <t>Value</t>
  </si>
  <si>
    <t>ValgT time reduction</t>
  </si>
  <si>
    <t>Lower end-to-end time than TraceMOP</t>
  </si>
  <si>
    <t>Unique-trace retention</t>
  </si>
  <si>
    <t>Most distinct traces retained</t>
  </si>
  <si>
    <t>Duplicate-trace reduction</t>
  </si>
  <si>
    <t>Large reduction in repeated trace checks</t>
  </si>
  <si>
    <t>Complete project pairs</t>
  </si>
  <si>
    <t>Other projects cannot support a paired trace comparison</t>
  </si>
  <si>
    <t>Availability</t>
  </si>
  <si>
    <t>Partial</t>
  </si>
  <si>
    <t>Do not generalize this trace result across all projects</t>
  </si>
  <si>
    <t>JavaMOP time reduction</t>
  </si>
  <si>
    <t>ValgJ unique violations</t>
  </si>
  <si>
    <t>JavaMOP unique violations</t>
  </si>
  <si>
    <t>Violation-signature preservation</t>
  </si>
  <si>
    <t>ValgT / TraceMOP</t>
  </si>
  <si>
    <t>TraceMOP time reduction</t>
  </si>
  <si>
    <t>ValgT unique traces</t>
  </si>
  <si>
    <t>TraceMOP unique traces</t>
  </si>
  <si>
    <t>ValgT duplicate traces</t>
  </si>
  <si>
    <t>TraceMOP duplicate traces</t>
  </si>
  <si>
    <t>Selected run</t>
  </si>
  <si>
    <t>javadbf</t>
  </si>
  <si>
    <t>20261017-225822</t>
  </si>
  <si>
    <t>jlemmagen</t>
  </si>
  <si>
    <t>20261017-235320</t>
  </si>
  <si>
    <t>route53-infima</t>
  </si>
  <si>
    <t>20261017-232932</t>
  </si>
  <si>
    <t>xeger</t>
  </si>
  <si>
    <t>20261017-223751</t>
  </si>
  <si>
    <t>run_id</t>
  </si>
  <si>
    <t>selected</t>
  </si>
  <si>
    <t>project</t>
  </si>
  <si>
    <t>mode</t>
  </si>
  <si>
    <t>status</t>
  </si>
  <si>
    <t>duration_ms</t>
  </si>
  <si>
    <t>violation_occurrences</t>
  </si>
  <si>
    <t>unique_violation_rows</t>
  </si>
  <si>
    <t>unique_traces</t>
  </si>
  <si>
    <t>trace_frequency_sum</t>
  </si>
  <si>
    <t>derived_duplicate_trace_instances</t>
  </si>
  <si>
    <t>locations</t>
  </si>
  <si>
    <t>source</t>
  </si>
  <si>
    <t>yes</t>
  </si>
  <si>
    <t>no-RV</t>
  </si>
  <si>
    <t>success</t>
  </si>
  <si>
    <t>valg-reproduction/subset-results/20261017-223751/summary.csv</t>
  </si>
  <si>
    <t>JavaMOP</t>
  </si>
  <si>
    <t>failed</t>
  </si>
  <si>
    <t>valg-reproduction/subset-results/20261017-225822/summary.csv</t>
  </si>
  <si>
    <t>valg-reproduction/subset-results/20261017-232932/summary.csv</t>
  </si>
  <si>
    <t>valg-reproduction/subset-results/20261017-235320/summary.csv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</si>
</sst>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9">
    <font>
      <sz val="11"/>
      <name val="Carlito"/>
    </font>
    <font>
      <sz val="10"/>
      <color rgb="FF222222"/>
      <name val="Arial"/>
      <family val="2"/>
    </font>
    <font>
      <b/>
      <sz val="10"/>
      <color rgb="FFFFFFFF"/>
      <name val="Arial"/>
      <family val="2"/>
    </font>
    <font>
      <b/>
      <sz val="16"/>
      <color rgb="FF17365D"/>
      <name val="Arial"/>
      <family val="2"/>
    </font>
    <font>
      <i/>
      <sz val="10"/>
      <color rgb="FF666666"/>
      <name val="Arial"/>
      <family val="2"/>
    </font>
    <font>
      <b/>
      <sz val="12"/>
      <color rgb="FF17365D"/>
      <name val="Arial"/>
      <family val="2"/>
    </font>
    <font>
      <b/>
      <sz val="10"/>
      <color rgb="FF17365D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9EADBA"/>
      </left>
      <right/>
      <top style="thin">
        <color rgb="FF9EADBA"/>
      </top>
      <bottom style="thin">
        <color rgb="FF9EADBA"/>
      </bottom>
      <diagonal/>
    </border>
    <border>
      <left/>
      <right/>
      <top style="thin">
        <color rgb="FF9EADBA"/>
      </top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 style="thin">
        <color rgb="FF9EADBA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1" fillId="0" borderId="0" xfId="1" applyFont="1" applyAlignment="1">
      <alignment vertical="center"/>
    </xf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Alignment="1">
      <alignment vertical="center" wrapText="1"/>
    </xf>
    <xf numFmtId="0" fontId="2" fillId="2" borderId="0" xfId="1" applyFont="1" applyFill="1" applyAlignment="1">
      <alignment horizontal="center" vertical="center" wrapText="1"/>
    </xf>
    <xf numFmtId="1" fontId="1" fillId="0" borderId="0" xfId="1" applyNumberFormat="1" applyFont="1" applyAlignment="1">
      <alignment vertical="center"/>
    </xf>
    <xf numFmtId="3" fontId="1" fillId="0" borderId="0" xfId="1" applyNumberFormat="1" applyFont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177" fontId="5" fillId="3" borderId="2" xfId="1" applyNumberFormat="1" applyFont="1" applyFill="1" applyBorder="1" applyAlignment="1">
      <alignment horizontal="center" vertical="center"/>
    </xf>
    <xf numFmtId="9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  <xf numFmtId="0" fontId="6" fillId="3" borderId="0" xfId="1" applyFont="1" applyFill="1" applyAlignment="1">
      <alignment vertical="center" wrapText="1"/>
    </xf>
    <xf numFmtId="177" fontId="1" fillId="0" borderId="0" xfId="1" applyNumberFormat="1" applyFont="1" applyAlignment="1">
      <alignment vertical="center" wrapText="1"/>
    </xf>
    <xf numFmtId="0" fontId="6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1"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End-to-end runtime by project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no-RV (s)</c:v>
          </c:tx>
          <c:spPr>
            <a:solidFill>
              <a:srgbClr val="A5A5A5"/>
            </a:solidFill>
          </c:spPr>
          <c:invertIfNegative val="1"/>
          <c:cat>
            <c:strRef>
              <c:f>Dashboard!$A$11:$A$14</c:f>
              <c:strCache>
                <c:ptCount val="4"/>
                <c:pt idx="0">
                  <c:v>javadbf</c:v>
                </c:pt>
                <c:pt idx="1">
                  <c:v>jlemmagen</c:v>
                </c:pt>
                <c:pt idx="2">
                  <c:v>route53-infima</c:v>
                </c:pt>
                <c:pt idx="3">
                  <c:v>xeger</c:v>
                </c:pt>
              </c:strCache>
            </c:strRef>
          </c:cat>
          <c:val>
            <c:numRef>
              <c:f>Dashboard!$B$11:$B$14</c:f>
              <c:numCache>
                <c:formatCode>0.000</c:formatCode>
                <c:ptCount val="4"/>
                <c:pt idx="0">
                  <c:v>11.141999999999999</c:v>
                </c:pt>
                <c:pt idx="1">
                  <c:v>9.3889999999999993</c:v>
                </c:pt>
                <c:pt idx="2">
                  <c:v>13.673</c:v>
                </c:pt>
                <c:pt idx="3">
                  <c:v>10.428000000000001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09B-1946-AD6F-F1EFFAEFBD68}"/>
            </c:ext>
          </c:extLst>
        </c:ser>
        <c:ser>
          <c:idx val="1"/>
          <c:order val="1"/>
          <c:tx>
            <c:v>ValgJ (s)</c:v>
          </c:tx>
          <c:spPr>
            <a:solidFill>
              <a:srgbClr val="7030A0"/>
            </a:solidFill>
          </c:spPr>
          <c:invertIfNegative val="1"/>
          <c:cat>
            <c:strRef>
              <c:f>Dashboard!$A$11:$A$14</c:f>
              <c:strCache>
                <c:ptCount val="4"/>
                <c:pt idx="0">
                  <c:v>javadbf</c:v>
                </c:pt>
                <c:pt idx="1">
                  <c:v>jlemmagen</c:v>
                </c:pt>
                <c:pt idx="2">
                  <c:v>route53-infima</c:v>
                </c:pt>
                <c:pt idx="3">
                  <c:v>xeger</c:v>
                </c:pt>
              </c:strCache>
            </c:strRef>
          </c:cat>
          <c:val>
            <c:numRef>
              <c:f>Dashboard!$C$11:$C$14</c:f>
              <c:numCache>
                <c:formatCode>0.000</c:formatCode>
                <c:ptCount val="4"/>
                <c:pt idx="0">
                  <c:v>61.079000000000001</c:v>
                </c:pt>
                <c:pt idx="1">
                  <c:v>114.502</c:v>
                </c:pt>
                <c:pt idx="2">
                  <c:v>41.805999999999997</c:v>
                </c:pt>
                <c:pt idx="3">
                  <c:v>44.713999999999999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109B-1946-AD6F-F1EFFAEFBD68}"/>
            </c:ext>
          </c:extLst>
        </c:ser>
        <c:ser>
          <c:idx val="2"/>
          <c:order val="2"/>
          <c:tx>
            <c:v>JavaMOP (s)</c:v>
          </c:tx>
          <c:spPr>
            <a:solidFill>
              <a:srgbClr val="ED7D31"/>
            </a:solidFill>
          </c:spPr>
          <c:invertIfNegative val="1"/>
          <c:cat>
            <c:strRef>
              <c:f>Dashboard!$A$11:$A$14</c:f>
              <c:strCache>
                <c:ptCount val="4"/>
                <c:pt idx="0">
                  <c:v>javadbf</c:v>
                </c:pt>
                <c:pt idx="1">
                  <c:v>jlemmagen</c:v>
                </c:pt>
                <c:pt idx="2">
                  <c:v>route53-infima</c:v>
                </c:pt>
                <c:pt idx="3">
                  <c:v>xeger</c:v>
                </c:pt>
              </c:strCache>
            </c:strRef>
          </c:cat>
          <c:val>
            <c:numRef>
              <c:f>Dashboard!$D$11:$D$14</c:f>
              <c:numCache>
                <c:formatCode>0.000</c:formatCode>
                <c:ptCount val="4"/>
                <c:pt idx="0">
                  <c:v>38.795000000000002</c:v>
                </c:pt>
                <c:pt idx="1">
                  <c:v>315.70699999999999</c:v>
                </c:pt>
                <c:pt idx="2">
                  <c:v>59.767000000000003</c:v>
                </c:pt>
                <c:pt idx="3">
                  <c:v>66.003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109B-1946-AD6F-F1EFFAEFB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seconds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ValgJ runtime relative to JavaMOP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ValgJ</c:v>
          </c:tx>
          <c:spPr>
            <a:solidFill>
              <a:srgbClr val="7030A0"/>
            </a:solidFill>
          </c:spPr>
          <c:invertIfNegative val="1"/>
          <c:cat>
            <c:strRef>
              <c:f>Dashboard!$A$19:$A$22</c:f>
              <c:strCache>
                <c:ptCount val="4"/>
                <c:pt idx="0">
                  <c:v>javadbf</c:v>
                </c:pt>
                <c:pt idx="1">
                  <c:v>jlemmagen</c:v>
                </c:pt>
                <c:pt idx="2">
                  <c:v>route53-infima</c:v>
                </c:pt>
                <c:pt idx="3">
                  <c:v>xeger</c:v>
                </c:pt>
              </c:strCache>
            </c:strRef>
          </c:cat>
          <c:val>
            <c:numRef>
              <c:f>Dashboard!$B$19:$B$22</c:f>
              <c:numCache>
                <c:formatCode>0%</c:formatCode>
                <c:ptCount val="4"/>
                <c:pt idx="0">
                  <c:v>1.5744039180306739</c:v>
                </c:pt>
                <c:pt idx="1">
                  <c:v>0.36268438773926459</c:v>
                </c:pt>
                <c:pt idx="2">
                  <c:v>0.69948299228671329</c:v>
                </c:pt>
                <c:pt idx="3">
                  <c:v>0.67745405511870671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916-154C-A142-BE101FED46D3}"/>
            </c:ext>
          </c:extLst>
        </c:ser>
        <c:ser>
          <c:idx val="1"/>
          <c:order val="1"/>
          <c:tx>
            <c:v>JavaMOP baseline</c:v>
          </c:tx>
          <c:spPr>
            <a:solidFill>
              <a:srgbClr val="BFBFBF"/>
            </a:solidFill>
          </c:spPr>
          <c:invertIfNegative val="1"/>
          <c:cat>
            <c:strRef>
              <c:f>Dashboard!$A$19:$A$22</c:f>
              <c:strCache>
                <c:ptCount val="4"/>
                <c:pt idx="0">
                  <c:v>javadbf</c:v>
                </c:pt>
                <c:pt idx="1">
                  <c:v>jlemmagen</c:v>
                </c:pt>
                <c:pt idx="2">
                  <c:v>route53-infima</c:v>
                </c:pt>
                <c:pt idx="3">
                  <c:v>xeger</c:v>
                </c:pt>
              </c:strCache>
            </c:strRef>
          </c:cat>
          <c:val>
            <c:numRef>
              <c:f>Dashboard!$C$19:$C$22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7916-154C-A142-BE101FED4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Trace-mode runtime for complete pairs (seconds)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ValgT</c:v>
          </c:tx>
          <c:spPr>
            <a:solidFill>
              <a:srgbClr val="70AD47"/>
            </a:solidFill>
          </c:spPr>
          <c:invertIfNegative val="1"/>
          <c:cat>
            <c:strRef>
              <c:f>'Trace Analysis'!$A$15</c:f>
              <c:strCache>
                <c:ptCount val="1"/>
                <c:pt idx="0">
                  <c:v>jlemmagen</c:v>
                </c:pt>
              </c:strCache>
            </c:strRef>
          </c:cat>
          <c:val>
            <c:numRef>
              <c:f>'Trace Analysis'!$B$15</c:f>
              <c:numCache>
                <c:formatCode>General</c:formatCode>
                <c:ptCount val="1"/>
                <c:pt idx="0">
                  <c:v>184.6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57F0-EB47-8215-66C20B1F11E1}"/>
            </c:ext>
          </c:extLst>
        </c:ser>
        <c:ser>
          <c:idx val="1"/>
          <c:order val="1"/>
          <c:tx>
            <c:v>TraceMOP</c:v>
          </c:tx>
          <c:spPr>
            <a:solidFill>
              <a:srgbClr val="ED7D31"/>
            </a:solidFill>
          </c:spPr>
          <c:invertIfNegative val="1"/>
          <c:cat>
            <c:strRef>
              <c:f>'Trace Analysis'!$A$15</c:f>
              <c:strCache>
                <c:ptCount val="1"/>
                <c:pt idx="0">
                  <c:v>jlemmagen</c:v>
                </c:pt>
              </c:strCache>
            </c:strRef>
          </c:cat>
          <c:val>
            <c:numRef>
              <c:f>'Trace Analysis'!$C$15</c:f>
              <c:numCache>
                <c:formatCode>General</c:formatCode>
                <c:ptCount val="1"/>
                <c:pt idx="0">
                  <c:v>349.05599999999998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57F0-EB47-8215-66C20B1F1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Derived duplicate trace instances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ValgT duplicates</c:v>
          </c:tx>
          <c:spPr>
            <a:solidFill>
              <a:srgbClr val="70AD47"/>
            </a:solidFill>
          </c:spPr>
          <c:invertIfNegative val="1"/>
          <c:cat>
            <c:strRef>
              <c:f>'Trace Analysis'!$E$15</c:f>
              <c:strCache>
                <c:ptCount val="1"/>
                <c:pt idx="0">
                  <c:v>jlemmagen</c:v>
                </c:pt>
              </c:strCache>
            </c:strRef>
          </c:cat>
          <c:val>
            <c:numRef>
              <c:f>'Trace Analysis'!$F$15</c:f>
              <c:numCache>
                <c:formatCode>General</c:formatCode>
                <c:ptCount val="1"/>
                <c:pt idx="0">
                  <c:v>79812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27E-1146-89C1-176A0BC7E41A}"/>
            </c:ext>
          </c:extLst>
        </c:ser>
        <c:ser>
          <c:idx val="1"/>
          <c:order val="1"/>
          <c:tx>
            <c:v>TraceMOP duplicates</c:v>
          </c:tx>
          <c:spPr>
            <a:solidFill>
              <a:srgbClr val="ED7D31"/>
            </a:solidFill>
          </c:spPr>
          <c:invertIfNegative val="1"/>
          <c:cat>
            <c:strRef>
              <c:f>'Trace Analysis'!$E$15</c:f>
              <c:strCache>
                <c:ptCount val="1"/>
                <c:pt idx="0">
                  <c:v>jlemmagen</c:v>
                </c:pt>
              </c:strCache>
            </c:strRef>
          </c:cat>
          <c:val>
            <c:numRef>
              <c:f>'Trace Analysis'!$G$15</c:f>
              <c:numCache>
                <c:formatCode>General</c:formatCode>
                <c:ptCount val="1"/>
                <c:pt idx="0">
                  <c:v>1258457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E27E-1146-89C1-176A0BC7E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Unique traces retained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ValgT unique</c:v>
          </c:tx>
          <c:spPr>
            <a:solidFill>
              <a:srgbClr val="70AD47"/>
            </a:solidFill>
          </c:spPr>
          <c:invertIfNegative val="1"/>
          <c:cat>
            <c:strRef>
              <c:f>'Trace Analysis'!$I$15</c:f>
              <c:strCache>
                <c:ptCount val="1"/>
                <c:pt idx="0">
                  <c:v>jlemmagen</c:v>
                </c:pt>
              </c:strCache>
            </c:strRef>
          </c:cat>
          <c:val>
            <c:numRef>
              <c:f>'Trace Analysis'!$J$15</c:f>
              <c:numCache>
                <c:formatCode>General</c:formatCode>
                <c:ptCount val="1"/>
                <c:pt idx="0">
                  <c:v>1840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94A-7848-A7B5-2CFB4ED24B51}"/>
            </c:ext>
          </c:extLst>
        </c:ser>
        <c:ser>
          <c:idx val="1"/>
          <c:order val="1"/>
          <c:tx>
            <c:v>TraceMOP unique</c:v>
          </c:tx>
          <c:spPr>
            <a:solidFill>
              <a:srgbClr val="ED7D31"/>
            </a:solidFill>
          </c:spPr>
          <c:invertIfNegative val="1"/>
          <c:cat>
            <c:strRef>
              <c:f>'Trace Analysis'!$I$15</c:f>
              <c:strCache>
                <c:ptCount val="1"/>
                <c:pt idx="0">
                  <c:v>jlemmagen</c:v>
                </c:pt>
              </c:strCache>
            </c:strRef>
          </c:cat>
          <c:val>
            <c:numRef>
              <c:f>'Trace Analysis'!$K$15</c:f>
              <c:numCache>
                <c:formatCode>General</c:formatCode>
                <c:ptCount val="1"/>
                <c:pt idx="0">
                  <c:v>2115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C94A-7848-A7B5-2CFB4ED2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nalysisTable" displayName="AnalysisTable" ref="A1:U5" totalsRowShown="0">
  <tableColumns count="21">
    <tableColumn id="1" xr3:uid="{00000000-0010-0000-0000-000001000000}" name="Project"/>
    <tableColumn id="2" xr3:uid="{00000000-0010-0000-0000-000002000000}" name="no-RV (s)"/>
    <tableColumn id="3" xr3:uid="{00000000-0010-0000-0000-000003000000}" name="ValgJ (s)"/>
    <tableColumn id="4" xr3:uid="{00000000-0010-0000-0000-000004000000}" name="JavaMOP (s)"/>
    <tableColumn id="5" xr3:uid="{00000000-0010-0000-0000-000005000000}" name="ValgJ / JavaMOP"/>
    <tableColumn id="6" xr3:uid="{00000000-0010-0000-0000-000006000000}" name="JavaMOP time reduction"/>
    <tableColumn id="7" xr3:uid="{00000000-0010-0000-0000-000007000000}" name="ValgJ unique violations"/>
    <tableColumn id="8" xr3:uid="{00000000-0010-0000-0000-000008000000}" name="JavaMOP unique violations"/>
    <tableColumn id="9" xr3:uid="{00000000-0010-0000-0000-000009000000}" name="Violation-signature preservation"/>
    <tableColumn id="10" xr3:uid="{00000000-0010-0000-0000-00000A000000}" name="ValgT (s)"/>
    <tableColumn id="11" xr3:uid="{00000000-0010-0000-0000-00000B000000}" name="TraceMOP (s)"/>
    <tableColumn id="12" xr3:uid="{00000000-0010-0000-0000-00000C000000}" name="ValgT / TraceMOP"/>
    <tableColumn id="13" xr3:uid="{00000000-0010-0000-0000-00000D000000}" name="TraceMOP time reduction"/>
    <tableColumn id="14" xr3:uid="{00000000-0010-0000-0000-00000E000000}" name="ValgT unique traces"/>
    <tableColumn id="15" xr3:uid="{00000000-0010-0000-0000-00000F000000}" name="TraceMOP unique traces"/>
    <tableColumn id="16" xr3:uid="{00000000-0010-0000-0000-000010000000}" name="Unique-trace retention"/>
    <tableColumn id="17" xr3:uid="{00000000-0010-0000-0000-000011000000}" name="ValgT duplicate traces"/>
    <tableColumn id="18" xr3:uid="{00000000-0010-0000-0000-000012000000}" name="TraceMOP duplicate traces"/>
    <tableColumn id="19" xr3:uid="{00000000-0010-0000-0000-000013000000}" name="Duplicate-trace reduction"/>
    <tableColumn id="20" xr3:uid="{00000000-0010-0000-0000-000014000000}" name="Successful modes"/>
    <tableColumn id="21" xr3:uid="{00000000-0010-0000-0000-000015000000}" name="Selected ru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RunDataTable" displayName="RunDataTable" ref="A1:M21" totalsRowShown="0">
  <tableColumns count="13">
    <tableColumn id="1" xr3:uid="{00000000-0010-0000-0100-000001000000}" name="run_id"/>
    <tableColumn id="2" xr3:uid="{00000000-0010-0000-0100-000002000000}" name="selected"/>
    <tableColumn id="3" xr3:uid="{00000000-0010-0000-0100-000003000000}" name="project"/>
    <tableColumn id="4" xr3:uid="{00000000-0010-0000-0100-000004000000}" name="mode"/>
    <tableColumn id="5" xr3:uid="{00000000-0010-0000-0100-000005000000}" name="status"/>
    <tableColumn id="6" xr3:uid="{00000000-0010-0000-0100-000006000000}" name="duration_ms"/>
    <tableColumn id="7" xr3:uid="{00000000-0010-0000-0100-000007000000}" name="violation_occurrences"/>
    <tableColumn id="8" xr3:uid="{00000000-0010-0000-0100-000008000000}" name="unique_violation_rows"/>
    <tableColumn id="9" xr3:uid="{00000000-0010-0000-0100-000009000000}" name="unique_traces"/>
    <tableColumn id="10" xr3:uid="{00000000-0010-0000-0100-00000A000000}" name="trace_frequency_sum"/>
    <tableColumn id="11" xr3:uid="{00000000-0010-0000-0100-00000B000000}" name="derived_duplicate_trace_instances"/>
    <tableColumn id="12" xr3:uid="{00000000-0010-0000-0100-00000C000000}" name="locations"/>
    <tableColumn id="13" xr3:uid="{00000000-0010-0000-0100-00000D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Z200"/>
  <sheetViews>
    <sheetView showGridLines="0" tabSelected="1" workbookViewId="0"/>
  </sheetViews>
  <sheetFormatPr baseColWidth="10" defaultColWidth="8.83203125" defaultRowHeight="14"/>
  <cols>
    <col min="1" max="1" width="22" customWidth="1"/>
    <col min="2" max="3" width="17" customWidth="1"/>
    <col min="4" max="4" width="24" customWidth="1"/>
    <col min="5" max="6" width="17" customWidth="1"/>
    <col min="7" max="7" width="21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>
      <c r="A2" s="10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2" t="s">
        <v>2</v>
      </c>
      <c r="B6" s="12" t="s">
        <v>3</v>
      </c>
      <c r="C6" s="12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2" t="s">
        <v>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>
      <c r="A7" s="13">
        <f>COUNTA(Analysis!A2:A5)</f>
        <v>4</v>
      </c>
      <c r="B7" s="14">
        <f>COUNTIF(Analysis!F2:F5,"&gt;0")</f>
        <v>3</v>
      </c>
      <c r="C7" s="16">
        <f>MEDIAN(Analysis!F2:F5)</f>
        <v>0.31153147629729</v>
      </c>
      <c r="D7" s="16">
        <f>MIN(Analysis!I2:I5)</f>
        <v>1</v>
      </c>
      <c r="E7" s="14">
        <f>COUNT(Analysis!L2:L5)</f>
        <v>1</v>
      </c>
      <c r="F7" s="14">
        <f>SUM(Analysis!T2:T5)</f>
        <v>15</v>
      </c>
      <c r="G7" s="14">
        <f>ROWS(Analysis!A2:A5)*5</f>
        <v>20</v>
      </c>
      <c r="H7" s="15" t="str">
        <f>IF(F7=G7,"Complete","Partial")</f>
        <v>Partial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tr">
        <f>Analysis!A2</f>
        <v>javadbf</v>
      </c>
      <c r="B11" s="8">
        <f>Analysis!B2</f>
        <v>11.141999999999999</v>
      </c>
      <c r="C11" s="8">
        <f>Analysis!C2</f>
        <v>61.079000000000001</v>
      </c>
      <c r="D11" s="8">
        <f>Analysis!D2</f>
        <v>38.795000000000002</v>
      </c>
      <c r="E11" s="9">
        <f>Analysis!E2</f>
        <v>1.5744039180306739</v>
      </c>
      <c r="F11" s="9">
        <f>Analysis!F2</f>
        <v>-0.57440391803067392</v>
      </c>
      <c r="G11" s="9">
        <f>Analysis!I2</f>
        <v>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tr">
        <f>Analysis!A3</f>
        <v>jlemmagen</v>
      </c>
      <c r="B12" s="8">
        <f>Analysis!B3</f>
        <v>9.3889999999999993</v>
      </c>
      <c r="C12" s="8">
        <f>Analysis!C3</f>
        <v>114.502</v>
      </c>
      <c r="D12" s="8">
        <f>Analysis!D3</f>
        <v>315.70699999999999</v>
      </c>
      <c r="E12" s="9">
        <f>Analysis!E3</f>
        <v>0.36268438773926459</v>
      </c>
      <c r="F12" s="9">
        <f>Analysis!F3</f>
        <v>0.63731561226073541</v>
      </c>
      <c r="G12" s="9">
        <f>Analysis!I3</f>
        <v>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tr">
        <f>Analysis!A4</f>
        <v>route53-infima</v>
      </c>
      <c r="B13" s="8">
        <f>Analysis!B4</f>
        <v>13.673</v>
      </c>
      <c r="C13" s="8">
        <f>Analysis!C4</f>
        <v>41.805999999999997</v>
      </c>
      <c r="D13" s="8">
        <f>Analysis!D4</f>
        <v>59.767000000000003</v>
      </c>
      <c r="E13" s="9">
        <f>Analysis!E4</f>
        <v>0.69948299228671329</v>
      </c>
      <c r="F13" s="9">
        <f>Analysis!F4</f>
        <v>0.30051700771328671</v>
      </c>
      <c r="G13" s="9">
        <f>Analysis!I4</f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tr">
        <f>Analysis!A5</f>
        <v>xeger</v>
      </c>
      <c r="B14" s="8">
        <f>Analysis!B5</f>
        <v>10.428000000000001</v>
      </c>
      <c r="C14" s="8">
        <f>Analysis!C5</f>
        <v>44.713999999999999</v>
      </c>
      <c r="D14" s="8">
        <f>Analysis!D5</f>
        <v>66.003</v>
      </c>
      <c r="E14" s="9">
        <f>Analysis!E5</f>
        <v>0.67745405511870671</v>
      </c>
      <c r="F14" s="9">
        <f>Analysis!F5</f>
        <v>0.32254594488129329</v>
      </c>
      <c r="G14" s="9">
        <f>Analysis!I5</f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2" t="s">
        <v>10</v>
      </c>
      <c r="B18" s="12" t="s">
        <v>17</v>
      </c>
      <c r="C18" s="12" t="s">
        <v>18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tr">
        <f>Analysis!A2</f>
        <v>javadbf</v>
      </c>
      <c r="B19" s="17">
        <f>Analysis!E2</f>
        <v>1.5744039180306739</v>
      </c>
      <c r="C19" s="17">
        <f>1</f>
        <v>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tr">
        <f>Analysis!A3</f>
        <v>jlemmagen</v>
      </c>
      <c r="B20" s="17">
        <f>Analysis!E3</f>
        <v>0.36268438773926459</v>
      </c>
      <c r="C20" s="17">
        <f>1</f>
        <v>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tr">
        <f>Analysis!A4</f>
        <v>route53-infima</v>
      </c>
      <c r="B21" s="17">
        <f>Analysis!E4</f>
        <v>0.69948299228671329</v>
      </c>
      <c r="C21" s="17">
        <f>1</f>
        <v>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 t="str">
        <f>Analysis!A5</f>
        <v>xeger</v>
      </c>
      <c r="B22" s="17">
        <f>Analysis!E5</f>
        <v>0.67745405511870671</v>
      </c>
      <c r="C22" s="17">
        <f>1</f>
        <v>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 t="s">
        <v>19</v>
      </c>
      <c r="B26" s="3" t="s">
        <v>20</v>
      </c>
      <c r="C26" s="3" t="s">
        <v>21</v>
      </c>
      <c r="D26" s="3" t="s">
        <v>22</v>
      </c>
      <c r="E26" s="3"/>
      <c r="F26" s="3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6" customHeight="1">
      <c r="A27" s="18" t="s">
        <v>23</v>
      </c>
      <c r="B27" s="18" t="s">
        <v>24</v>
      </c>
      <c r="C27" s="18" t="s">
        <v>25</v>
      </c>
      <c r="D27" s="18" t="s">
        <v>26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6" customHeight="1">
      <c r="A28" s="18" t="s">
        <v>27</v>
      </c>
      <c r="B28" s="18" t="s">
        <v>28</v>
      </c>
      <c r="C28" s="18" t="s">
        <v>29</v>
      </c>
      <c r="D28" s="18" t="s">
        <v>30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6" customHeight="1">
      <c r="A29" s="18" t="s">
        <v>31</v>
      </c>
      <c r="B29" s="18" t="s">
        <v>32</v>
      </c>
      <c r="C29" s="18" t="s">
        <v>33</v>
      </c>
      <c r="D29" s="18" t="s">
        <v>34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6" customHeight="1">
      <c r="A30" s="18" t="s">
        <v>35</v>
      </c>
      <c r="B30" s="18" t="s">
        <v>36</v>
      </c>
      <c r="C30" s="18" t="s">
        <v>37</v>
      </c>
      <c r="D30" s="18" t="s">
        <v>38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 t="s">
        <v>39</v>
      </c>
      <c r="B33" s="3"/>
      <c r="C33" s="3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2">
      <c r="A34" s="21" t="s">
        <v>40</v>
      </c>
      <c r="B34" s="18" t="s">
        <v>41</v>
      </c>
      <c r="C34" s="18"/>
      <c r="D34" s="1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8">
      <c r="A35" s="21" t="s">
        <v>42</v>
      </c>
      <c r="B35" s="18" t="s">
        <v>43</v>
      </c>
      <c r="C35" s="18"/>
      <c r="D35" s="1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2">
      <c r="A36" s="21" t="s">
        <v>44</v>
      </c>
      <c r="B36" s="18" t="s">
        <v>45</v>
      </c>
      <c r="C36" s="18"/>
      <c r="D36" s="1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6">
      <c r="A37" s="21" t="s">
        <v>46</v>
      </c>
      <c r="B37" s="18" t="s">
        <v>47</v>
      </c>
      <c r="C37" s="18"/>
      <c r="D37" s="1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honeticPr fontId="8" type="noConversion"/>
  <conditionalFormatting sqref="F11:F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">
    <cfRule type="cellIs" dxfId="0" priority="1" operator="equal">
      <formula>"Partial"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Z200"/>
  <sheetViews>
    <sheetView showGridLines="0" topLeftCell="A3" workbookViewId="0"/>
  </sheetViews>
  <sheetFormatPr baseColWidth="10" defaultColWidth="8.83203125" defaultRowHeight="14"/>
  <cols>
    <col min="1" max="1" width="20" customWidth="1"/>
    <col min="2" max="7" width="18" customWidth="1"/>
    <col min="8" max="10" width="22" customWidth="1"/>
    <col min="11" max="11" width="37.5" customWidth="1"/>
    <col min="12" max="15" width="18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">
      <c r="A2" s="10" t="s">
        <v>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1" t="s">
        <v>49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5" t="s">
        <v>10</v>
      </c>
      <c r="B7" s="5" t="s">
        <v>50</v>
      </c>
      <c r="C7" s="5" t="s">
        <v>51</v>
      </c>
      <c r="D7" s="5" t="s">
        <v>15</v>
      </c>
      <c r="E7" s="5" t="s">
        <v>52</v>
      </c>
      <c r="F7" s="5" t="s">
        <v>53</v>
      </c>
      <c r="G7" s="5" t="s">
        <v>54</v>
      </c>
      <c r="H7" s="5" t="s">
        <v>55</v>
      </c>
      <c r="I7" s="5" t="s">
        <v>56</v>
      </c>
      <c r="J7" s="5" t="s">
        <v>57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tr">
        <f>Analysis!A2</f>
        <v>javadbf</v>
      </c>
      <c r="B8" s="8" t="str">
        <f>IF(Analysis!J2="","",Analysis!J2)</f>
        <v/>
      </c>
      <c r="C8" s="8">
        <f>IF(Analysis!K2="","",Analysis!K2)</f>
        <v>49.768000000000001</v>
      </c>
      <c r="D8" s="9" t="str">
        <f>IF(Analysis!M2="","",Analysis!M2)</f>
        <v/>
      </c>
      <c r="E8" s="7" t="str">
        <f>IF(Analysis!N2="","",Analysis!N2)</f>
        <v/>
      </c>
      <c r="F8" s="7">
        <f>IF(Analysis!O2="","",Analysis!O2)</f>
        <v>278</v>
      </c>
      <c r="G8" s="9" t="str">
        <f>IF(Analysis!P2="","",Analysis!P2)</f>
        <v/>
      </c>
      <c r="H8" s="7" t="str">
        <f>IF(Analysis!Q2="","",Analysis!Q2)</f>
        <v/>
      </c>
      <c r="I8" s="7">
        <f>IF(Analysis!R2="","",Analysis!R2)</f>
        <v>137313</v>
      </c>
      <c r="J8" s="9" t="str">
        <f>IF(Analysis!S2="","",Analysis!S2)</f>
        <v/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tr">
        <f>Analysis!A3</f>
        <v>jlemmagen</v>
      </c>
      <c r="B9" s="8">
        <f>IF(Analysis!J3="","",Analysis!J3)</f>
        <v>184.6</v>
      </c>
      <c r="C9" s="8">
        <f>IF(Analysis!K3="","",Analysis!K3)</f>
        <v>349.05599999999998</v>
      </c>
      <c r="D9" s="9">
        <f>IF(Analysis!M3="","",Analysis!M3)</f>
        <v>0.47114503116978368</v>
      </c>
      <c r="E9" s="7">
        <f>IF(Analysis!N3="","",Analysis!N3)</f>
        <v>1840</v>
      </c>
      <c r="F9" s="7">
        <f>IF(Analysis!O3="","",Analysis!O3)</f>
        <v>2115</v>
      </c>
      <c r="G9" s="9">
        <f>IF(Analysis!P3="","",Analysis!P3)</f>
        <v>0.8699763593380615</v>
      </c>
      <c r="H9" s="7">
        <f>IF(Analysis!Q3="","",Analysis!Q3)</f>
        <v>79812</v>
      </c>
      <c r="I9" s="7">
        <f>IF(Analysis!R3="","",Analysis!R3)</f>
        <v>1258457</v>
      </c>
      <c r="J9" s="9">
        <f>IF(Analysis!S3="","",Analysis!S3)</f>
        <v>0.93657947788442519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2" t="s">
        <v>10</v>
      </c>
      <c r="B14" s="12" t="s">
        <v>58</v>
      </c>
      <c r="C14" s="12" t="s">
        <v>59</v>
      </c>
      <c r="D14" s="1"/>
      <c r="E14" s="12" t="s">
        <v>10</v>
      </c>
      <c r="F14" s="12" t="s">
        <v>55</v>
      </c>
      <c r="G14" s="12" t="s">
        <v>56</v>
      </c>
      <c r="H14" s="1"/>
      <c r="I14" s="12" t="s">
        <v>10</v>
      </c>
      <c r="J14" s="12" t="s">
        <v>52</v>
      </c>
      <c r="K14" s="12" t="s">
        <v>53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tr">
        <f>Analysis!A3</f>
        <v>jlemmagen</v>
      </c>
      <c r="B15" s="1">
        <f>Analysis!J3</f>
        <v>184.6</v>
      </c>
      <c r="C15" s="1">
        <f>Analysis!K3</f>
        <v>349.05599999999998</v>
      </c>
      <c r="D15" s="1"/>
      <c r="E15" s="1" t="str">
        <f>Analysis!A3</f>
        <v>jlemmagen</v>
      </c>
      <c r="F15" s="1">
        <f>Analysis!Q3</f>
        <v>79812</v>
      </c>
      <c r="G15" s="1">
        <f>Analysis!R3</f>
        <v>1258457</v>
      </c>
      <c r="H15" s="1"/>
      <c r="I15" s="1" t="str">
        <f>Analysis!A3</f>
        <v>jlemmagen</v>
      </c>
      <c r="J15" s="1">
        <f>Analysis!N3</f>
        <v>1840</v>
      </c>
      <c r="K15" s="1">
        <f>Analysis!O3</f>
        <v>2115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4" t="s">
        <v>60</v>
      </c>
      <c r="J36" s="4"/>
      <c r="K36" s="4"/>
      <c r="L36" s="4"/>
      <c r="M36" s="4"/>
      <c r="N36" s="4"/>
      <c r="O36" s="4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9" t="s">
        <v>61</v>
      </c>
      <c r="J37" s="19" t="s">
        <v>62</v>
      </c>
      <c r="K37" s="19" t="s">
        <v>19</v>
      </c>
      <c r="L37" s="18"/>
      <c r="M37" s="18"/>
      <c r="N37" s="18"/>
      <c r="O37" s="18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8" t="s">
        <v>63</v>
      </c>
      <c r="J38" s="20">
        <f>Analysis!M3</f>
        <v>0.47114503116978368</v>
      </c>
      <c r="K38" s="18" t="s">
        <v>64</v>
      </c>
      <c r="L38" s="18"/>
      <c r="M38" s="18"/>
      <c r="N38" s="18"/>
      <c r="O38" s="18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8" t="s">
        <v>65</v>
      </c>
      <c r="J39" s="20">
        <f>Analysis!P3</f>
        <v>0.8699763593380615</v>
      </c>
      <c r="K39" s="18" t="s">
        <v>66</v>
      </c>
      <c r="L39" s="18"/>
      <c r="M39" s="18"/>
      <c r="N39" s="18"/>
      <c r="O39" s="18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8" t="s">
        <v>67</v>
      </c>
      <c r="J40" s="20">
        <f>Analysis!S3</f>
        <v>0.93657947788442519</v>
      </c>
      <c r="K40" s="18" t="s">
        <v>68</v>
      </c>
      <c r="L40" s="18"/>
      <c r="M40" s="18"/>
      <c r="N40" s="18"/>
      <c r="O40" s="18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8">
      <c r="A41" s="1"/>
      <c r="B41" s="1"/>
      <c r="C41" s="1"/>
      <c r="D41" s="1"/>
      <c r="E41" s="1"/>
      <c r="F41" s="1"/>
      <c r="G41" s="1"/>
      <c r="H41" s="1"/>
      <c r="I41" s="18" t="s">
        <v>69</v>
      </c>
      <c r="J41" s="18">
        <f>COUNT(Analysis!L2:L5)</f>
        <v>1</v>
      </c>
      <c r="K41" s="18" t="s">
        <v>70</v>
      </c>
      <c r="L41" s="18"/>
      <c r="M41" s="18"/>
      <c r="N41" s="18"/>
      <c r="O41" s="18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8">
      <c r="A42" s="1"/>
      <c r="B42" s="1"/>
      <c r="C42" s="1"/>
      <c r="D42" s="1"/>
      <c r="E42" s="1"/>
      <c r="F42" s="1"/>
      <c r="G42" s="1"/>
      <c r="H42" s="1"/>
      <c r="I42" s="18" t="s">
        <v>71</v>
      </c>
      <c r="J42" s="18" t="s">
        <v>72</v>
      </c>
      <c r="K42" s="18" t="s">
        <v>73</v>
      </c>
      <c r="L42" s="18"/>
      <c r="M42" s="18"/>
      <c r="N42" s="18"/>
      <c r="O42" s="18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DC3E6"/>
  </sheetPr>
  <dimension ref="A1:Z20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8.83203125" defaultRowHeight="14"/>
  <cols>
    <col min="1" max="1" width="20" customWidth="1"/>
    <col min="2" max="2" width="9.33203125" customWidth="1"/>
    <col min="3" max="3" width="8.83203125" customWidth="1"/>
    <col min="4" max="4" width="11.6640625" customWidth="1"/>
    <col min="5" max="5" width="14.5" customWidth="1"/>
    <col min="6" max="6" width="20" customWidth="1"/>
    <col min="7" max="7" width="19.1640625" customWidth="1"/>
    <col min="8" max="8" width="22" customWidth="1"/>
    <col min="9" max="9" width="25.5" customWidth="1"/>
    <col min="10" max="10" width="8.83203125" customWidth="1"/>
    <col min="11" max="11" width="12.1640625" customWidth="1"/>
    <col min="12" max="12" width="15.1640625" customWidth="1"/>
    <col min="13" max="13" width="20.5" customWidth="1"/>
    <col min="14" max="14" width="16.6640625" customWidth="1"/>
    <col min="15" max="15" width="20" customWidth="1"/>
    <col min="16" max="16" width="18.5" customWidth="1"/>
    <col min="17" max="17" width="18.33203125" customWidth="1"/>
    <col min="18" max="18" width="21.6640625" customWidth="1"/>
    <col min="19" max="19" width="20.5" customWidth="1"/>
    <col min="20" max="20" width="15.83203125" customWidth="1"/>
    <col min="21" max="21" width="18" customWidth="1"/>
  </cols>
  <sheetData>
    <row r="1" spans="1:26" ht="28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50</v>
      </c>
      <c r="K1" s="5" t="s">
        <v>51</v>
      </c>
      <c r="L1" s="5" t="s">
        <v>78</v>
      </c>
      <c r="M1" s="5" t="s">
        <v>79</v>
      </c>
      <c r="N1" s="5" t="s">
        <v>80</v>
      </c>
      <c r="O1" s="5" t="s">
        <v>81</v>
      </c>
      <c r="P1" s="5" t="s">
        <v>65</v>
      </c>
      <c r="Q1" s="5" t="s">
        <v>82</v>
      </c>
      <c r="R1" s="5" t="s">
        <v>83</v>
      </c>
      <c r="S1" s="5" t="s">
        <v>67</v>
      </c>
      <c r="T1" s="5" t="s">
        <v>7</v>
      </c>
      <c r="U1" s="5" t="s">
        <v>84</v>
      </c>
      <c r="V1" s="1"/>
      <c r="W1" s="1"/>
      <c r="X1" s="1"/>
      <c r="Y1" s="1"/>
      <c r="Z1" s="1"/>
    </row>
    <row r="2" spans="1:26">
      <c r="A2" s="1" t="s">
        <v>85</v>
      </c>
      <c r="B2" s="8">
        <v>11.141999999999999</v>
      </c>
      <c r="C2" s="8">
        <v>61.079000000000001</v>
      </c>
      <c r="D2" s="8">
        <v>38.795000000000002</v>
      </c>
      <c r="E2" s="9">
        <f>IF(OR(C2="",D2="",D2=0),"",C2/D2)</f>
        <v>1.5744039180306739</v>
      </c>
      <c r="F2" s="9">
        <f>IF(E2="","",1-E2)</f>
        <v>-0.57440391803067392</v>
      </c>
      <c r="G2" s="7">
        <v>3</v>
      </c>
      <c r="H2" s="7">
        <v>3</v>
      </c>
      <c r="I2" s="9">
        <f>IF(OR(G2="",H2="",H2=0),"",G2/H2)</f>
        <v>1</v>
      </c>
      <c r="J2" s="8"/>
      <c r="K2" s="8">
        <v>49.768000000000001</v>
      </c>
      <c r="L2" s="9" t="str">
        <f>IF(OR(J2="",K2="",K2=0),"",J2/K2)</f>
        <v/>
      </c>
      <c r="M2" s="9" t="str">
        <f>IF(L2="","",1-L2)</f>
        <v/>
      </c>
      <c r="N2" s="7"/>
      <c r="O2" s="7">
        <v>278</v>
      </c>
      <c r="P2" s="9" t="str">
        <f>IF(OR(N2="",O2="",O2=0),"",N2/O2)</f>
        <v/>
      </c>
      <c r="Q2" s="7"/>
      <c r="R2" s="7">
        <v>137313</v>
      </c>
      <c r="S2" s="9" t="str">
        <f>IF(OR(Q2="",R2="",R2=0),"",1-Q2/R2)</f>
        <v/>
      </c>
      <c r="T2" s="1">
        <v>4</v>
      </c>
      <c r="U2" s="1" t="s">
        <v>86</v>
      </c>
      <c r="V2" s="1"/>
      <c r="W2" s="1"/>
      <c r="X2" s="1"/>
      <c r="Y2" s="1"/>
      <c r="Z2" s="1"/>
    </row>
    <row r="3" spans="1:26">
      <c r="A3" s="1" t="s">
        <v>87</v>
      </c>
      <c r="B3" s="8">
        <v>9.3889999999999993</v>
      </c>
      <c r="C3" s="8">
        <v>114.502</v>
      </c>
      <c r="D3" s="8">
        <v>315.70699999999999</v>
      </c>
      <c r="E3" s="9">
        <f>IF(OR(C3="",D3="",D3=0),"",C3/D3)</f>
        <v>0.36268438773926459</v>
      </c>
      <c r="F3" s="9">
        <f>IF(E3="","",1-E3)</f>
        <v>0.63731561226073541</v>
      </c>
      <c r="G3" s="7">
        <v>3</v>
      </c>
      <c r="H3" s="7">
        <v>3</v>
      </c>
      <c r="I3" s="9">
        <f>IF(OR(G3="",H3="",H3=0),"",G3/H3)</f>
        <v>1</v>
      </c>
      <c r="J3" s="8">
        <v>184.6</v>
      </c>
      <c r="K3" s="8">
        <v>349.05599999999998</v>
      </c>
      <c r="L3" s="9">
        <f>IF(OR(J3="",K3="",K3=0),"",J3/K3)</f>
        <v>0.52885496883021632</v>
      </c>
      <c r="M3" s="9">
        <f>IF(L3="","",1-L3)</f>
        <v>0.47114503116978368</v>
      </c>
      <c r="N3" s="7">
        <v>1840</v>
      </c>
      <c r="O3" s="7">
        <v>2115</v>
      </c>
      <c r="P3" s="9">
        <f>IF(OR(N3="",O3="",O3=0),"",N3/O3)</f>
        <v>0.8699763593380615</v>
      </c>
      <c r="Q3" s="7">
        <v>79812</v>
      </c>
      <c r="R3" s="7">
        <v>1258457</v>
      </c>
      <c r="S3" s="9">
        <f>IF(OR(Q3="",R3="",R3=0),"",1-Q3/R3)</f>
        <v>0.93657947788442519</v>
      </c>
      <c r="T3" s="1">
        <v>5</v>
      </c>
      <c r="U3" s="1" t="s">
        <v>88</v>
      </c>
      <c r="V3" s="1"/>
      <c r="W3" s="1"/>
      <c r="X3" s="1"/>
      <c r="Y3" s="1"/>
      <c r="Z3" s="1"/>
    </row>
    <row r="4" spans="1:26">
      <c r="A4" s="1" t="s">
        <v>89</v>
      </c>
      <c r="B4" s="8">
        <v>13.673</v>
      </c>
      <c r="C4" s="8">
        <v>41.805999999999997</v>
      </c>
      <c r="D4" s="8">
        <v>59.767000000000003</v>
      </c>
      <c r="E4" s="9">
        <f>IF(OR(C4="",D4="",D4=0),"",C4/D4)</f>
        <v>0.69948299228671329</v>
      </c>
      <c r="F4" s="9">
        <f>IF(E4="","",1-E4)</f>
        <v>0.30051700771328671</v>
      </c>
      <c r="G4" s="7">
        <v>8</v>
      </c>
      <c r="H4" s="7">
        <v>8</v>
      </c>
      <c r="I4" s="9">
        <f>IF(OR(G4="",H4="",H4=0),"",G4/H4)</f>
        <v>1</v>
      </c>
      <c r="J4" s="8"/>
      <c r="K4" s="8"/>
      <c r="L4" s="9" t="str">
        <f>IF(OR(J4="",K4="",K4=0),"",J4/K4)</f>
        <v/>
      </c>
      <c r="M4" s="9" t="str">
        <f>IF(L4="","",1-L4)</f>
        <v/>
      </c>
      <c r="N4" s="7"/>
      <c r="O4" s="7"/>
      <c r="P4" s="9" t="str">
        <f>IF(OR(N4="",O4="",O4=0),"",N4/O4)</f>
        <v/>
      </c>
      <c r="Q4" s="7"/>
      <c r="R4" s="7"/>
      <c r="S4" s="9" t="str">
        <f>IF(OR(Q4="",R4="",R4=0),"",1-Q4/R4)</f>
        <v/>
      </c>
      <c r="T4" s="1">
        <v>3</v>
      </c>
      <c r="U4" s="1" t="s">
        <v>90</v>
      </c>
      <c r="V4" s="1"/>
      <c r="W4" s="1"/>
      <c r="X4" s="1"/>
      <c r="Y4" s="1"/>
      <c r="Z4" s="1"/>
    </row>
    <row r="5" spans="1:26">
      <c r="A5" s="1" t="s">
        <v>91</v>
      </c>
      <c r="B5" s="8">
        <v>10.428000000000001</v>
      </c>
      <c r="C5" s="8">
        <v>44.713999999999999</v>
      </c>
      <c r="D5" s="8">
        <v>66.003</v>
      </c>
      <c r="E5" s="9">
        <f>IF(OR(C5="",D5="",D5=0),"",C5/D5)</f>
        <v>0.67745405511870671</v>
      </c>
      <c r="F5" s="9">
        <f>IF(E5="","",1-E5)</f>
        <v>0.32254594488129329</v>
      </c>
      <c r="G5" s="7">
        <v>1</v>
      </c>
      <c r="H5" s="7">
        <v>1</v>
      </c>
      <c r="I5" s="9">
        <f>IF(OR(G5="",H5="",H5=0),"",G5/H5)</f>
        <v>1</v>
      </c>
      <c r="J5" s="8"/>
      <c r="K5" s="8"/>
      <c r="L5" s="9" t="str">
        <f>IF(OR(J5="",K5="",K5=0),"",J5/K5)</f>
        <v/>
      </c>
      <c r="M5" s="9" t="str">
        <f>IF(L5="","",1-L5)</f>
        <v/>
      </c>
      <c r="N5" s="7"/>
      <c r="O5" s="7"/>
      <c r="P5" s="9" t="str">
        <f>IF(OR(N5="",O5="",O5=0),"",N5/O5)</f>
        <v/>
      </c>
      <c r="Q5" s="7"/>
      <c r="R5" s="7"/>
      <c r="S5" s="9" t="str">
        <f>IF(OR(Q5="",R5="",R5=0),"",1-Q5/R5)</f>
        <v/>
      </c>
      <c r="T5" s="1">
        <v>3</v>
      </c>
      <c r="U5" s="1" t="s">
        <v>92</v>
      </c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.5" customWidth="1"/>
    <col min="2" max="2" width="8.6640625" customWidth="1"/>
    <col min="3" max="3" width="10" customWidth="1"/>
    <col min="4" max="4" width="7.5" customWidth="1"/>
    <col min="5" max="5" width="7.1640625" customWidth="1"/>
    <col min="6" max="6" width="11.6640625" customWidth="1"/>
    <col min="7" max="7" width="18.5" customWidth="1"/>
    <col min="8" max="8" width="18.83203125" customWidth="1"/>
    <col min="9" max="9" width="12.83203125" customWidth="1"/>
    <col min="10" max="10" width="18" customWidth="1"/>
    <col min="11" max="11" width="27.33203125" customWidth="1"/>
    <col min="12" max="12" width="9.1640625" customWidth="1"/>
    <col min="13" max="13" width="42" customWidth="1"/>
  </cols>
  <sheetData>
    <row r="1" spans="1:26" ht="28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101</v>
      </c>
      <c r="J1" s="5" t="s">
        <v>102</v>
      </c>
      <c r="K1" s="5" t="s">
        <v>103</v>
      </c>
      <c r="L1" s="5" t="s">
        <v>104</v>
      </c>
      <c r="M1" s="5" t="s">
        <v>105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92</v>
      </c>
      <c r="B2" s="1" t="s">
        <v>106</v>
      </c>
      <c r="C2" s="1" t="s">
        <v>91</v>
      </c>
      <c r="D2" s="1" t="s">
        <v>107</v>
      </c>
      <c r="E2" s="1" t="s">
        <v>108</v>
      </c>
      <c r="F2" s="6">
        <v>10428</v>
      </c>
      <c r="G2" s="7">
        <v>0</v>
      </c>
      <c r="H2" s="7">
        <v>0</v>
      </c>
      <c r="I2" s="7"/>
      <c r="J2" s="7"/>
      <c r="K2" s="7"/>
      <c r="L2" s="7"/>
      <c r="M2" s="1" t="s">
        <v>109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92</v>
      </c>
      <c r="B3" s="1" t="s">
        <v>106</v>
      </c>
      <c r="C3" s="1" t="s">
        <v>91</v>
      </c>
      <c r="D3" s="1" t="s">
        <v>17</v>
      </c>
      <c r="E3" s="1" t="s">
        <v>108</v>
      </c>
      <c r="F3" s="6">
        <v>44714</v>
      </c>
      <c r="G3" s="7">
        <v>229</v>
      </c>
      <c r="H3" s="7">
        <v>1</v>
      </c>
      <c r="I3" s="7"/>
      <c r="J3" s="7"/>
      <c r="K3" s="7"/>
      <c r="L3" s="7"/>
      <c r="M3" s="1" t="s">
        <v>109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92</v>
      </c>
      <c r="B4" s="1" t="s">
        <v>106</v>
      </c>
      <c r="C4" s="1" t="s">
        <v>91</v>
      </c>
      <c r="D4" s="1" t="s">
        <v>110</v>
      </c>
      <c r="E4" s="1" t="s">
        <v>108</v>
      </c>
      <c r="F4" s="6">
        <v>66003</v>
      </c>
      <c r="G4" s="7">
        <v>4202</v>
      </c>
      <c r="H4" s="7">
        <v>1</v>
      </c>
      <c r="I4" s="7"/>
      <c r="J4" s="7"/>
      <c r="K4" s="7"/>
      <c r="L4" s="7"/>
      <c r="M4" s="1" t="s">
        <v>109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92</v>
      </c>
      <c r="B5" s="1" t="s">
        <v>106</v>
      </c>
      <c r="C5" s="1" t="s">
        <v>91</v>
      </c>
      <c r="D5" s="1" t="s">
        <v>58</v>
      </c>
      <c r="E5" s="1" t="s">
        <v>111</v>
      </c>
      <c r="F5" s="6"/>
      <c r="G5" s="7"/>
      <c r="H5" s="7"/>
      <c r="I5" s="7"/>
      <c r="J5" s="7"/>
      <c r="K5" s="7"/>
      <c r="L5" s="7"/>
      <c r="M5" s="1" t="s">
        <v>109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92</v>
      </c>
      <c r="B6" s="1" t="s">
        <v>106</v>
      </c>
      <c r="C6" s="1" t="s">
        <v>91</v>
      </c>
      <c r="D6" s="1" t="s">
        <v>59</v>
      </c>
      <c r="E6" s="1" t="s">
        <v>111</v>
      </c>
      <c r="F6" s="6"/>
      <c r="G6" s="7"/>
      <c r="H6" s="7"/>
      <c r="I6" s="7"/>
      <c r="J6" s="7"/>
      <c r="K6" s="7"/>
      <c r="L6" s="7"/>
      <c r="M6" s="1" t="s">
        <v>109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86</v>
      </c>
      <c r="B7" s="1" t="s">
        <v>106</v>
      </c>
      <c r="C7" s="1" t="s">
        <v>85</v>
      </c>
      <c r="D7" s="1" t="s">
        <v>107</v>
      </c>
      <c r="E7" s="1" t="s">
        <v>108</v>
      </c>
      <c r="F7" s="6">
        <v>11142</v>
      </c>
      <c r="G7" s="7">
        <v>0</v>
      </c>
      <c r="H7" s="7">
        <v>0</v>
      </c>
      <c r="I7" s="7"/>
      <c r="J7" s="7"/>
      <c r="K7" s="7"/>
      <c r="L7" s="7"/>
      <c r="M7" s="1" t="s">
        <v>112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86</v>
      </c>
      <c r="B8" s="1" t="s">
        <v>106</v>
      </c>
      <c r="C8" s="1" t="s">
        <v>85</v>
      </c>
      <c r="D8" s="1" t="s">
        <v>17</v>
      </c>
      <c r="E8" s="1" t="s">
        <v>108</v>
      </c>
      <c r="F8" s="6">
        <v>61079</v>
      </c>
      <c r="G8" s="7">
        <v>506</v>
      </c>
      <c r="H8" s="7">
        <v>3</v>
      </c>
      <c r="I8" s="7"/>
      <c r="J8" s="7"/>
      <c r="K8" s="7"/>
      <c r="L8" s="7"/>
      <c r="M8" s="1" t="s">
        <v>112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86</v>
      </c>
      <c r="B9" s="1" t="s">
        <v>106</v>
      </c>
      <c r="C9" s="1" t="s">
        <v>85</v>
      </c>
      <c r="D9" s="1" t="s">
        <v>110</v>
      </c>
      <c r="E9" s="1" t="s">
        <v>108</v>
      </c>
      <c r="F9" s="6">
        <v>38795</v>
      </c>
      <c r="G9" s="7">
        <v>529</v>
      </c>
      <c r="H9" s="7">
        <v>3</v>
      </c>
      <c r="I9" s="7"/>
      <c r="J9" s="7"/>
      <c r="K9" s="7"/>
      <c r="L9" s="7"/>
      <c r="M9" s="1" t="s">
        <v>112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86</v>
      </c>
      <c r="B10" s="1" t="s">
        <v>106</v>
      </c>
      <c r="C10" s="1" t="s">
        <v>85</v>
      </c>
      <c r="D10" s="1" t="s">
        <v>58</v>
      </c>
      <c r="E10" s="1" t="s">
        <v>111</v>
      </c>
      <c r="F10" s="6"/>
      <c r="G10" s="7"/>
      <c r="H10" s="7"/>
      <c r="I10" s="7"/>
      <c r="J10" s="7"/>
      <c r="K10" s="7"/>
      <c r="L10" s="7"/>
      <c r="M10" s="1" t="s">
        <v>112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86</v>
      </c>
      <c r="B11" s="1" t="s">
        <v>106</v>
      </c>
      <c r="C11" s="1" t="s">
        <v>85</v>
      </c>
      <c r="D11" s="1" t="s">
        <v>59</v>
      </c>
      <c r="E11" s="1" t="s">
        <v>108</v>
      </c>
      <c r="F11" s="6">
        <v>49768</v>
      </c>
      <c r="G11" s="7">
        <v>529</v>
      </c>
      <c r="H11" s="7">
        <v>3</v>
      </c>
      <c r="I11" s="7">
        <v>278</v>
      </c>
      <c r="J11" s="7">
        <v>137591</v>
      </c>
      <c r="K11" s="7">
        <v>137313</v>
      </c>
      <c r="L11" s="7">
        <v>159</v>
      </c>
      <c r="M11" s="1" t="s">
        <v>112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90</v>
      </c>
      <c r="B12" s="1" t="s">
        <v>106</v>
      </c>
      <c r="C12" s="1" t="s">
        <v>89</v>
      </c>
      <c r="D12" s="1" t="s">
        <v>107</v>
      </c>
      <c r="E12" s="1" t="s">
        <v>108</v>
      </c>
      <c r="F12" s="6">
        <v>13673</v>
      </c>
      <c r="G12" s="7">
        <v>0</v>
      </c>
      <c r="H12" s="7">
        <v>0</v>
      </c>
      <c r="I12" s="7"/>
      <c r="J12" s="7"/>
      <c r="K12" s="7"/>
      <c r="L12" s="7"/>
      <c r="M12" s="1" t="s">
        <v>113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90</v>
      </c>
      <c r="B13" s="1" t="s">
        <v>106</v>
      </c>
      <c r="C13" s="1" t="s">
        <v>89</v>
      </c>
      <c r="D13" s="1" t="s">
        <v>17</v>
      </c>
      <c r="E13" s="1" t="s">
        <v>108</v>
      </c>
      <c r="F13" s="6">
        <v>41806</v>
      </c>
      <c r="G13" s="7">
        <v>8</v>
      </c>
      <c r="H13" s="7">
        <v>8</v>
      </c>
      <c r="I13" s="7"/>
      <c r="J13" s="7"/>
      <c r="K13" s="7"/>
      <c r="L13" s="7"/>
      <c r="M13" s="1" t="s">
        <v>113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90</v>
      </c>
      <c r="B14" s="1" t="s">
        <v>106</v>
      </c>
      <c r="C14" s="1" t="s">
        <v>89</v>
      </c>
      <c r="D14" s="1" t="s">
        <v>110</v>
      </c>
      <c r="E14" s="1" t="s">
        <v>108</v>
      </c>
      <c r="F14" s="6">
        <v>59767</v>
      </c>
      <c r="G14" s="7">
        <v>1592</v>
      </c>
      <c r="H14" s="7">
        <v>8</v>
      </c>
      <c r="I14" s="7"/>
      <c r="J14" s="7"/>
      <c r="K14" s="7"/>
      <c r="L14" s="7"/>
      <c r="M14" s="1" t="s">
        <v>113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90</v>
      </c>
      <c r="B15" s="1" t="s">
        <v>106</v>
      </c>
      <c r="C15" s="1" t="s">
        <v>89</v>
      </c>
      <c r="D15" s="1" t="s">
        <v>58</v>
      </c>
      <c r="E15" s="1" t="s">
        <v>111</v>
      </c>
      <c r="F15" s="6"/>
      <c r="G15" s="7"/>
      <c r="H15" s="7"/>
      <c r="I15" s="7"/>
      <c r="J15" s="7"/>
      <c r="K15" s="7"/>
      <c r="L15" s="7"/>
      <c r="M15" s="1" t="s">
        <v>113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90</v>
      </c>
      <c r="B16" s="1" t="s">
        <v>106</v>
      </c>
      <c r="C16" s="1" t="s">
        <v>89</v>
      </c>
      <c r="D16" s="1" t="s">
        <v>59</v>
      </c>
      <c r="E16" s="1" t="s">
        <v>111</v>
      </c>
      <c r="F16" s="6"/>
      <c r="G16" s="7"/>
      <c r="H16" s="7"/>
      <c r="I16" s="7"/>
      <c r="J16" s="7"/>
      <c r="K16" s="7"/>
      <c r="L16" s="7"/>
      <c r="M16" s="1" t="s">
        <v>113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88</v>
      </c>
      <c r="B17" s="1" t="s">
        <v>106</v>
      </c>
      <c r="C17" s="1" t="s">
        <v>87</v>
      </c>
      <c r="D17" s="1" t="s">
        <v>107</v>
      </c>
      <c r="E17" s="1" t="s">
        <v>108</v>
      </c>
      <c r="F17" s="6">
        <v>9389</v>
      </c>
      <c r="G17" s="7">
        <v>0</v>
      </c>
      <c r="H17" s="7">
        <v>0</v>
      </c>
      <c r="I17" s="7"/>
      <c r="J17" s="7"/>
      <c r="K17" s="7"/>
      <c r="L17" s="7"/>
      <c r="M17" s="1" t="s">
        <v>114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88</v>
      </c>
      <c r="B18" s="1" t="s">
        <v>106</v>
      </c>
      <c r="C18" s="1" t="s">
        <v>87</v>
      </c>
      <c r="D18" s="1" t="s">
        <v>17</v>
      </c>
      <c r="E18" s="1" t="s">
        <v>108</v>
      </c>
      <c r="F18" s="6">
        <v>114502</v>
      </c>
      <c r="G18" s="7">
        <v>189</v>
      </c>
      <c r="H18" s="7">
        <v>3</v>
      </c>
      <c r="I18" s="7"/>
      <c r="J18" s="7"/>
      <c r="K18" s="7"/>
      <c r="L18" s="7"/>
      <c r="M18" s="1" t="s">
        <v>114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88</v>
      </c>
      <c r="B19" s="1" t="s">
        <v>106</v>
      </c>
      <c r="C19" s="1" t="s">
        <v>87</v>
      </c>
      <c r="D19" s="1" t="s">
        <v>110</v>
      </c>
      <c r="E19" s="1" t="s">
        <v>108</v>
      </c>
      <c r="F19" s="6">
        <v>315707</v>
      </c>
      <c r="G19" s="7">
        <v>3431</v>
      </c>
      <c r="H19" s="7">
        <v>3</v>
      </c>
      <c r="I19" s="7"/>
      <c r="J19" s="7"/>
      <c r="K19" s="7"/>
      <c r="L19" s="7"/>
      <c r="M19" s="1" t="s">
        <v>114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88</v>
      </c>
      <c r="B20" s="1" t="s">
        <v>106</v>
      </c>
      <c r="C20" s="1" t="s">
        <v>87</v>
      </c>
      <c r="D20" s="1" t="s">
        <v>58</v>
      </c>
      <c r="E20" s="1" t="s">
        <v>108</v>
      </c>
      <c r="F20" s="6">
        <v>184600</v>
      </c>
      <c r="G20" s="7">
        <v>190</v>
      </c>
      <c r="H20" s="7">
        <v>3</v>
      </c>
      <c r="I20" s="7">
        <v>1840</v>
      </c>
      <c r="J20" s="7">
        <v>81652</v>
      </c>
      <c r="K20" s="7">
        <v>79812</v>
      </c>
      <c r="L20" s="7">
        <v>45</v>
      </c>
      <c r="M20" s="1" t="s">
        <v>114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">
        <v>88</v>
      </c>
      <c r="B21" s="1" t="s">
        <v>106</v>
      </c>
      <c r="C21" s="1" t="s">
        <v>87</v>
      </c>
      <c r="D21" s="1" t="s">
        <v>59</v>
      </c>
      <c r="E21" s="1" t="s">
        <v>108</v>
      </c>
      <c r="F21" s="6">
        <v>349056</v>
      </c>
      <c r="G21" s="7">
        <v>3431</v>
      </c>
      <c r="H21" s="7">
        <v>3</v>
      </c>
      <c r="I21" s="7">
        <v>2115</v>
      </c>
      <c r="J21" s="7">
        <v>1260572</v>
      </c>
      <c r="K21" s="7">
        <v>1258457</v>
      </c>
      <c r="L21" s="7">
        <v>45</v>
      </c>
      <c r="M21" s="1" t="s">
        <v>114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Trace Analysis</vt:lpstr>
      <vt:lpstr>Analysis</vt:lpstr>
      <vt:lpstr>Run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庚坤 邵</cp:lastModifiedBy>
  <dcterms:created xsi:type="dcterms:W3CDTF">2026-10-18T17:21:41Z</dcterms:created>
  <dcterms:modified xsi:type="dcterms:W3CDTF">2026-10-18T17:21:41Z</dcterms:modified>
</cp:coreProperties>
</file>